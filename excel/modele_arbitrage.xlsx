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Netback" sheetId="2" state="visible" r:id="rId2"/>
    <sheet xmlns:r="http://schemas.openxmlformats.org/officeDocument/2006/relationships" name="Sensibil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0;-0.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applyAlignment="1" pivotButton="0" quotePrefix="0" xfId="0">
      <alignment horizontal="center"/>
    </xf>
    <xf numFmtId="3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Hypotheses structurelles (source : src/config.py)</t>
        </is>
      </c>
    </row>
    <row r="3">
      <c r="A3" t="inlineStr">
        <is>
          <t>Taille de cargaison (TBtu)</t>
        </is>
      </c>
      <c r="B3" t="n">
        <v>3.5</v>
      </c>
    </row>
    <row r="4">
      <c r="A4" t="inlineStr">
        <is>
          <t>Boil-off (%/jour)</t>
        </is>
      </c>
      <c r="B4" t="n">
        <v>0.001</v>
      </c>
    </row>
    <row r="5">
      <c r="A5" t="inlineStr">
        <is>
          <t>Multiplicateur feedgas (x Henry Hub)</t>
        </is>
      </c>
      <c r="B5" t="n">
        <v>1.15</v>
      </c>
    </row>
    <row r="6">
      <c r="A6" t="inlineStr">
        <is>
          <t>Tolling fee liquefaction ($/MMBtu)</t>
        </is>
      </c>
      <c r="B6" t="n">
        <v>3</v>
      </c>
    </row>
    <row r="7">
      <c r="A7" t="inlineStr">
        <is>
          <t>Jours de mer - Europe</t>
        </is>
      </c>
      <c r="B7" t="n">
        <v>14</v>
      </c>
    </row>
    <row r="8">
      <c r="A8" t="inlineStr">
        <is>
          <t>Jours de mer - Asie (Panama)</t>
        </is>
      </c>
      <c r="B8" t="n">
        <v>27</v>
      </c>
    </row>
    <row r="9">
      <c r="A9" t="inlineStr">
        <is>
          <t>Jours de mer - Asie (Cap)</t>
        </is>
      </c>
      <c r="B9" t="n">
        <v>37</v>
      </c>
    </row>
    <row r="10">
      <c r="A10" t="inlineStr">
        <is>
          <t>Peage du canal de Panama ($)</t>
        </is>
      </c>
      <c r="B10" t="n">
        <v>900000</v>
      </c>
    </row>
    <row r="11">
      <c r="A11" t="inlineStr">
        <is>
          <t>Conversion MWh -&gt; MMBtu</t>
        </is>
      </c>
      <c r="B11" t="n">
        <v>3.412</v>
      </c>
    </row>
    <row r="12">
      <c r="A12" t="inlineStr">
        <is>
          <t>Frais de regaz - Europe ($/MMBtu)</t>
        </is>
      </c>
      <c r="B12" t="n">
        <v>0.4</v>
      </c>
    </row>
    <row r="13">
      <c r="A13" t="inlineStr">
        <is>
          <t>Frais de regaz - Asie ($/MMBtu)</t>
        </is>
      </c>
      <c r="B13" t="n">
        <v>0.5</v>
      </c>
    </row>
    <row r="15">
      <c r="A15" s="1" t="inlineStr">
        <is>
          <t>Parametres de marche (modifiables - a mettre a jour depuis l'actu)</t>
        </is>
      </c>
    </row>
    <row r="17">
      <c r="A17" t="inlineStr">
        <is>
          <t>TTF (EUR/MWh)</t>
        </is>
      </c>
      <c r="B17" s="2" t="n">
        <v>32</v>
      </c>
    </row>
    <row r="18">
      <c r="A18" t="inlineStr">
        <is>
          <t>Taux de change EUR/USD</t>
        </is>
      </c>
      <c r="B18" s="2" t="n">
        <v>1.08</v>
      </c>
    </row>
    <row r="19">
      <c r="A19" t="inlineStr">
        <is>
          <t>Henry Hub ($/MMBtu)</t>
        </is>
      </c>
      <c r="B19" s="2" t="n">
        <v>3.2</v>
      </c>
    </row>
    <row r="20">
      <c r="A20" t="inlineStr">
        <is>
          <t>JKM ($/MMBtu) - hypothese fragile, pas de source gratuite</t>
        </is>
      </c>
      <c r="B20" s="2" t="n">
        <v>11.5</v>
      </c>
    </row>
    <row r="21">
      <c r="A21" t="inlineStr">
        <is>
          <t>Taux d'affretement ($/jour) - hypothese fragile</t>
        </is>
      </c>
      <c r="B21" s="2" t="n">
        <v>65000</v>
      </c>
    </row>
    <row r="22">
      <c r="A22" t="inlineStr">
        <is>
          <t>Route Asie retenue</t>
        </is>
      </c>
      <c r="B22" s="2" t="inlineStr">
        <is>
          <t>Panama</t>
        </is>
      </c>
    </row>
    <row r="24">
      <c r="A24" s="3" t="inlineStr">
        <is>
          <t>Cellules en jaune = a ajuster toi-meme (voir README, section 'Fraicheur des hypotheses')</t>
        </is>
      </c>
    </row>
  </sheetData>
  <dataValidations count="1">
    <dataValidation sqref="B22" showDropDown="0" showInputMessage="0" showErrorMessage="0" allowBlank="0" error="Choisis Panama ou Cap dans la liste." prompt="Route empruntee par la cargaison vers l'Asie" type="list">
      <formula1>"Panama,Cap"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Comparaison Europe / Asie (meme formule que src/netback.py)</t>
        </is>
      </c>
    </row>
    <row r="2">
      <c r="B2" s="4" t="inlineStr">
        <is>
          <t>Europe</t>
        </is>
      </c>
      <c r="C2" s="4" t="inlineStr">
        <is>
          <t>Asie</t>
        </is>
      </c>
    </row>
    <row r="3">
      <c r="A3" t="inlineStr">
        <is>
          <t>Prix rendu ($/MMBtu)</t>
        </is>
      </c>
      <c r="B3" s="5">
        <f>Hypotheses!$B$17/Hypotheses!$B$11*Hypotheses!$B$18</f>
        <v/>
      </c>
      <c r="C3" s="5">
        <f>Hypotheses!$B$20</f>
        <v/>
      </c>
    </row>
    <row r="4">
      <c r="A4" t="inlineStr">
        <is>
          <t>Cout FOB ($/MMBtu)</t>
        </is>
      </c>
      <c r="B4" s="5">
        <f>Hypotheses!$B$5*Hypotheses!$B$19+Hypotheses!$B$6</f>
        <v/>
      </c>
      <c r="C4" s="5">
        <f>B4</f>
        <v/>
      </c>
    </row>
    <row r="5">
      <c r="A5" t="inlineStr">
        <is>
          <t>Jours de mer</t>
        </is>
      </c>
      <c r="B5" s="5">
        <f>Hypotheses!$B$7</f>
        <v/>
      </c>
      <c r="C5" s="5">
        <f>IF(Hypotheses!$B$22="Panama",Hypotheses!$B$8,Hypotheses!$B$9)</f>
        <v/>
      </c>
    </row>
    <row r="6">
      <c r="A6" t="inlineStr">
        <is>
          <t>Fret ($/MMBtu)</t>
        </is>
      </c>
      <c r="B6" s="5">
        <f>Hypotheses!$B$21*B5/(Hypotheses!$B$3*1000000)</f>
        <v/>
      </c>
      <c r="C6" s="5">
        <f>(Hypotheses!$B$21*C5+IF(Hypotheses!$B$22="Panama",Hypotheses!$B$10,0))/(Hypotheses!$B$3*1000000)</f>
        <v/>
      </c>
    </row>
    <row r="7">
      <c r="A7" t="inlineStr">
        <is>
          <t>Perte boil-off ($/MMBtu)</t>
        </is>
      </c>
      <c r="B7" s="5">
        <f>Hypotheses!$B$4*B5*B3</f>
        <v/>
      </c>
      <c r="C7" s="5">
        <f>Hypotheses!$B$4*C5*C3</f>
        <v/>
      </c>
    </row>
    <row r="8">
      <c r="A8" t="inlineStr">
        <is>
          <t>Frais de regaz ($/MMBtu)</t>
        </is>
      </c>
      <c r="B8" s="5">
        <f>Hypotheses!$B$12</f>
        <v/>
      </c>
      <c r="C8" s="5">
        <f>Hypotheses!$B$13</f>
        <v/>
      </c>
    </row>
    <row r="9">
      <c r="A9" s="6" t="inlineStr">
        <is>
          <t>Netback ($/MMBtu)</t>
        </is>
      </c>
      <c r="B9" s="7">
        <f>B3-B4-B6-B7-B8</f>
        <v/>
      </c>
      <c r="C9" s="7">
        <f>C3-C4-C6-C7-C8</f>
        <v/>
      </c>
    </row>
    <row r="11">
      <c r="A11" s="6" t="inlineStr">
        <is>
          <t>Destination recommandee</t>
        </is>
      </c>
      <c r="B11" s="6">
        <f>IF(B9&gt;C9,"Europe","Asie")</f>
        <v/>
      </c>
    </row>
    <row r="12">
      <c r="A12" t="inlineStr">
        <is>
          <t>Ecart (Asie - Europe, $/MMBtu)</t>
        </is>
      </c>
      <c r="B12" s="5">
        <f>C9-B9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Sensibilite : ecart de netback (Asie - Europe), en $/MMBtu</t>
        </is>
      </c>
    </row>
    <row r="2">
      <c r="A2" s="3" t="inlineStr">
        <is>
          <t>Positif (vert) = l'Asie l'emporte. Negatif (rouge) = l'Europe l'emporte. La ligne ou la couleur change de signe est la frontiere de bascule.</t>
        </is>
      </c>
    </row>
    <row r="3">
      <c r="B3" s="6" t="inlineStr">
        <is>
          <t>Taux de fret \ Ecart JKM-TTF</t>
        </is>
      </c>
      <c r="C3" s="8" t="n">
        <v>-1</v>
      </c>
      <c r="D3" s="8" t="n">
        <v>-0.5</v>
      </c>
      <c r="E3" s="8" t="n">
        <v>0</v>
      </c>
      <c r="F3" s="8" t="n">
        <v>0.5</v>
      </c>
      <c r="G3" s="8" t="n">
        <v>1</v>
      </c>
      <c r="H3" s="8" t="n">
        <v>1.5</v>
      </c>
      <c r="I3" s="8" t="n">
        <v>2</v>
      </c>
    </row>
    <row r="4">
      <c r="B4" s="9" t="n">
        <v>30000</v>
      </c>
      <c r="C4" s="10">
        <f>(((Hypotheses!$B$17/Hypotheses!$B$11*Hypotheses!$B$18)+C$3)-(Hypotheses!$B$5*Hypotheses!$B$19+Hypotheses!$B$6)-(($B4*(IF(Hypotheses!$B$22="Panama",Hypotheses!$B$8,Hypotheses!$B$9))+(IF(Hypotheses!$B$22="Panama",Hypotheses!$B$10,0)))/(Hypotheses!$B$3*1000000))-Hypotheses!$B$4*(IF(Hypotheses!$B$22="Panama",Hypotheses!$B$8,Hypotheses!$B$9))*((Hypotheses!$B$17/Hypotheses!$B$11*Hypotheses!$B$18)+C$3)-Hypotheses!$B$13)-((Hypotheses!$B$17/Hypotheses!$B$11*Hypotheses!$B$18)-(Hypotheses!$B$5*Hypotheses!$B$19+Hypotheses!$B$6)-($B4*Hypotheses!$B$7/(Hypotheses!$B$3*1000000))-Hypotheses!$B$4*Hypotheses!$B$7*(Hypotheses!$B$17/Hypotheses!$B$11*Hypotheses!$B$18)-Hypotheses!$B$12)</f>
        <v/>
      </c>
      <c r="D4" s="10">
        <f>(((Hypotheses!$B$17/Hypotheses!$B$11*Hypotheses!$B$18)+D$3)-(Hypotheses!$B$5*Hypotheses!$B$19+Hypotheses!$B$6)-(($B4*(IF(Hypotheses!$B$22="Panama",Hypotheses!$B$8,Hypotheses!$B$9))+(IF(Hypotheses!$B$22="Panama",Hypotheses!$B$10,0)))/(Hypotheses!$B$3*1000000))-Hypotheses!$B$4*(IF(Hypotheses!$B$22="Panama",Hypotheses!$B$8,Hypotheses!$B$9))*((Hypotheses!$B$17/Hypotheses!$B$11*Hypotheses!$B$18)+D$3)-Hypotheses!$B$13)-((Hypotheses!$B$17/Hypotheses!$B$11*Hypotheses!$B$18)-(Hypotheses!$B$5*Hypotheses!$B$19+Hypotheses!$B$6)-($B4*Hypotheses!$B$7/(Hypotheses!$B$3*1000000))-Hypotheses!$B$4*Hypotheses!$B$7*(Hypotheses!$B$17/Hypotheses!$B$11*Hypotheses!$B$18)-Hypotheses!$B$12)</f>
        <v/>
      </c>
      <c r="E4" s="10">
        <f>(((Hypotheses!$B$17/Hypotheses!$B$11*Hypotheses!$B$18)+E$3)-(Hypotheses!$B$5*Hypotheses!$B$19+Hypotheses!$B$6)-(($B4*(IF(Hypotheses!$B$22="Panama",Hypotheses!$B$8,Hypotheses!$B$9))+(IF(Hypotheses!$B$22="Panama",Hypotheses!$B$10,0)))/(Hypotheses!$B$3*1000000))-Hypotheses!$B$4*(IF(Hypotheses!$B$22="Panama",Hypotheses!$B$8,Hypotheses!$B$9))*((Hypotheses!$B$17/Hypotheses!$B$11*Hypotheses!$B$18)+E$3)-Hypotheses!$B$13)-((Hypotheses!$B$17/Hypotheses!$B$11*Hypotheses!$B$18)-(Hypotheses!$B$5*Hypotheses!$B$19+Hypotheses!$B$6)-($B4*Hypotheses!$B$7/(Hypotheses!$B$3*1000000))-Hypotheses!$B$4*Hypotheses!$B$7*(Hypotheses!$B$17/Hypotheses!$B$11*Hypotheses!$B$18)-Hypotheses!$B$12)</f>
        <v/>
      </c>
      <c r="F4" s="10">
        <f>(((Hypotheses!$B$17/Hypotheses!$B$11*Hypotheses!$B$18)+F$3)-(Hypotheses!$B$5*Hypotheses!$B$19+Hypotheses!$B$6)-(($B4*(IF(Hypotheses!$B$22="Panama",Hypotheses!$B$8,Hypotheses!$B$9))+(IF(Hypotheses!$B$22="Panama",Hypotheses!$B$10,0)))/(Hypotheses!$B$3*1000000))-Hypotheses!$B$4*(IF(Hypotheses!$B$22="Panama",Hypotheses!$B$8,Hypotheses!$B$9))*((Hypotheses!$B$17/Hypotheses!$B$11*Hypotheses!$B$18)+F$3)-Hypotheses!$B$13)-((Hypotheses!$B$17/Hypotheses!$B$11*Hypotheses!$B$18)-(Hypotheses!$B$5*Hypotheses!$B$19+Hypotheses!$B$6)-($B4*Hypotheses!$B$7/(Hypotheses!$B$3*1000000))-Hypotheses!$B$4*Hypotheses!$B$7*(Hypotheses!$B$17/Hypotheses!$B$11*Hypotheses!$B$18)-Hypotheses!$B$12)</f>
        <v/>
      </c>
      <c r="G4" s="10">
        <f>(((Hypotheses!$B$17/Hypotheses!$B$11*Hypotheses!$B$18)+G$3)-(Hypotheses!$B$5*Hypotheses!$B$19+Hypotheses!$B$6)-(($B4*(IF(Hypotheses!$B$22="Panama",Hypotheses!$B$8,Hypotheses!$B$9))+(IF(Hypotheses!$B$22="Panama",Hypotheses!$B$10,0)))/(Hypotheses!$B$3*1000000))-Hypotheses!$B$4*(IF(Hypotheses!$B$22="Panama",Hypotheses!$B$8,Hypotheses!$B$9))*((Hypotheses!$B$17/Hypotheses!$B$11*Hypotheses!$B$18)+G$3)-Hypotheses!$B$13)-((Hypotheses!$B$17/Hypotheses!$B$11*Hypotheses!$B$18)-(Hypotheses!$B$5*Hypotheses!$B$19+Hypotheses!$B$6)-($B4*Hypotheses!$B$7/(Hypotheses!$B$3*1000000))-Hypotheses!$B$4*Hypotheses!$B$7*(Hypotheses!$B$17/Hypotheses!$B$11*Hypotheses!$B$18)-Hypotheses!$B$12)</f>
        <v/>
      </c>
      <c r="H4" s="10">
        <f>(((Hypotheses!$B$17/Hypotheses!$B$11*Hypotheses!$B$18)+H$3)-(Hypotheses!$B$5*Hypotheses!$B$19+Hypotheses!$B$6)-(($B4*(IF(Hypotheses!$B$22="Panama",Hypotheses!$B$8,Hypotheses!$B$9))+(IF(Hypotheses!$B$22="Panama",Hypotheses!$B$10,0)))/(Hypotheses!$B$3*1000000))-Hypotheses!$B$4*(IF(Hypotheses!$B$22="Panama",Hypotheses!$B$8,Hypotheses!$B$9))*((Hypotheses!$B$17/Hypotheses!$B$11*Hypotheses!$B$18)+H$3)-Hypotheses!$B$13)-((Hypotheses!$B$17/Hypotheses!$B$11*Hypotheses!$B$18)-(Hypotheses!$B$5*Hypotheses!$B$19+Hypotheses!$B$6)-($B4*Hypotheses!$B$7/(Hypotheses!$B$3*1000000))-Hypotheses!$B$4*Hypotheses!$B$7*(Hypotheses!$B$17/Hypotheses!$B$11*Hypotheses!$B$18)-Hypotheses!$B$12)</f>
        <v/>
      </c>
      <c r="I4" s="10">
        <f>(((Hypotheses!$B$17/Hypotheses!$B$11*Hypotheses!$B$18)+I$3)-(Hypotheses!$B$5*Hypotheses!$B$19+Hypotheses!$B$6)-(($B4*(IF(Hypotheses!$B$22="Panama",Hypotheses!$B$8,Hypotheses!$B$9))+(IF(Hypotheses!$B$22="Panama",Hypotheses!$B$10,0)))/(Hypotheses!$B$3*1000000))-Hypotheses!$B$4*(IF(Hypotheses!$B$22="Panama",Hypotheses!$B$8,Hypotheses!$B$9))*((Hypotheses!$B$17/Hypotheses!$B$11*Hypotheses!$B$18)+I$3)-Hypotheses!$B$13)-((Hypotheses!$B$17/Hypotheses!$B$11*Hypotheses!$B$18)-(Hypotheses!$B$5*Hypotheses!$B$19+Hypotheses!$B$6)-($B4*Hypotheses!$B$7/(Hypotheses!$B$3*1000000))-Hypotheses!$B$4*Hypotheses!$B$7*(Hypotheses!$B$17/Hypotheses!$B$11*Hypotheses!$B$18)-Hypotheses!$B$12)</f>
        <v/>
      </c>
    </row>
    <row r="5">
      <c r="B5" s="9" t="n">
        <v>50000</v>
      </c>
      <c r="C5" s="10">
        <f>(((Hypotheses!$B$17/Hypotheses!$B$11*Hypotheses!$B$18)+C$3)-(Hypotheses!$B$5*Hypotheses!$B$19+Hypotheses!$B$6)-(($B5*(IF(Hypotheses!$B$22="Panama",Hypotheses!$B$8,Hypotheses!$B$9))+(IF(Hypotheses!$B$22="Panama",Hypotheses!$B$10,0)))/(Hypotheses!$B$3*1000000))-Hypotheses!$B$4*(IF(Hypotheses!$B$22="Panama",Hypotheses!$B$8,Hypotheses!$B$9))*((Hypotheses!$B$17/Hypotheses!$B$11*Hypotheses!$B$18)+C$3)-Hypotheses!$B$13)-((Hypotheses!$B$17/Hypotheses!$B$11*Hypotheses!$B$18)-(Hypotheses!$B$5*Hypotheses!$B$19+Hypotheses!$B$6)-($B5*Hypotheses!$B$7/(Hypotheses!$B$3*1000000))-Hypotheses!$B$4*Hypotheses!$B$7*(Hypotheses!$B$17/Hypotheses!$B$11*Hypotheses!$B$18)-Hypotheses!$B$12)</f>
        <v/>
      </c>
      <c r="D5" s="10">
        <f>(((Hypotheses!$B$17/Hypotheses!$B$11*Hypotheses!$B$18)+D$3)-(Hypotheses!$B$5*Hypotheses!$B$19+Hypotheses!$B$6)-(($B5*(IF(Hypotheses!$B$22="Panama",Hypotheses!$B$8,Hypotheses!$B$9))+(IF(Hypotheses!$B$22="Panama",Hypotheses!$B$10,0)))/(Hypotheses!$B$3*1000000))-Hypotheses!$B$4*(IF(Hypotheses!$B$22="Panama",Hypotheses!$B$8,Hypotheses!$B$9))*((Hypotheses!$B$17/Hypotheses!$B$11*Hypotheses!$B$18)+D$3)-Hypotheses!$B$13)-((Hypotheses!$B$17/Hypotheses!$B$11*Hypotheses!$B$18)-(Hypotheses!$B$5*Hypotheses!$B$19+Hypotheses!$B$6)-($B5*Hypotheses!$B$7/(Hypotheses!$B$3*1000000))-Hypotheses!$B$4*Hypotheses!$B$7*(Hypotheses!$B$17/Hypotheses!$B$11*Hypotheses!$B$18)-Hypotheses!$B$12)</f>
        <v/>
      </c>
      <c r="E5" s="10">
        <f>(((Hypotheses!$B$17/Hypotheses!$B$11*Hypotheses!$B$18)+E$3)-(Hypotheses!$B$5*Hypotheses!$B$19+Hypotheses!$B$6)-(($B5*(IF(Hypotheses!$B$22="Panama",Hypotheses!$B$8,Hypotheses!$B$9))+(IF(Hypotheses!$B$22="Panama",Hypotheses!$B$10,0)))/(Hypotheses!$B$3*1000000))-Hypotheses!$B$4*(IF(Hypotheses!$B$22="Panama",Hypotheses!$B$8,Hypotheses!$B$9))*((Hypotheses!$B$17/Hypotheses!$B$11*Hypotheses!$B$18)+E$3)-Hypotheses!$B$13)-((Hypotheses!$B$17/Hypotheses!$B$11*Hypotheses!$B$18)-(Hypotheses!$B$5*Hypotheses!$B$19+Hypotheses!$B$6)-($B5*Hypotheses!$B$7/(Hypotheses!$B$3*1000000))-Hypotheses!$B$4*Hypotheses!$B$7*(Hypotheses!$B$17/Hypotheses!$B$11*Hypotheses!$B$18)-Hypotheses!$B$12)</f>
        <v/>
      </c>
      <c r="F5" s="10">
        <f>(((Hypotheses!$B$17/Hypotheses!$B$11*Hypotheses!$B$18)+F$3)-(Hypotheses!$B$5*Hypotheses!$B$19+Hypotheses!$B$6)-(($B5*(IF(Hypotheses!$B$22="Panama",Hypotheses!$B$8,Hypotheses!$B$9))+(IF(Hypotheses!$B$22="Panama",Hypotheses!$B$10,0)))/(Hypotheses!$B$3*1000000))-Hypotheses!$B$4*(IF(Hypotheses!$B$22="Panama",Hypotheses!$B$8,Hypotheses!$B$9))*((Hypotheses!$B$17/Hypotheses!$B$11*Hypotheses!$B$18)+F$3)-Hypotheses!$B$13)-((Hypotheses!$B$17/Hypotheses!$B$11*Hypotheses!$B$18)-(Hypotheses!$B$5*Hypotheses!$B$19+Hypotheses!$B$6)-($B5*Hypotheses!$B$7/(Hypotheses!$B$3*1000000))-Hypotheses!$B$4*Hypotheses!$B$7*(Hypotheses!$B$17/Hypotheses!$B$11*Hypotheses!$B$18)-Hypotheses!$B$12)</f>
        <v/>
      </c>
      <c r="G5" s="10">
        <f>(((Hypotheses!$B$17/Hypotheses!$B$11*Hypotheses!$B$18)+G$3)-(Hypotheses!$B$5*Hypotheses!$B$19+Hypotheses!$B$6)-(($B5*(IF(Hypotheses!$B$22="Panama",Hypotheses!$B$8,Hypotheses!$B$9))+(IF(Hypotheses!$B$22="Panama",Hypotheses!$B$10,0)))/(Hypotheses!$B$3*1000000))-Hypotheses!$B$4*(IF(Hypotheses!$B$22="Panama",Hypotheses!$B$8,Hypotheses!$B$9))*((Hypotheses!$B$17/Hypotheses!$B$11*Hypotheses!$B$18)+G$3)-Hypotheses!$B$13)-((Hypotheses!$B$17/Hypotheses!$B$11*Hypotheses!$B$18)-(Hypotheses!$B$5*Hypotheses!$B$19+Hypotheses!$B$6)-($B5*Hypotheses!$B$7/(Hypotheses!$B$3*1000000))-Hypotheses!$B$4*Hypotheses!$B$7*(Hypotheses!$B$17/Hypotheses!$B$11*Hypotheses!$B$18)-Hypotheses!$B$12)</f>
        <v/>
      </c>
      <c r="H5" s="10">
        <f>(((Hypotheses!$B$17/Hypotheses!$B$11*Hypotheses!$B$18)+H$3)-(Hypotheses!$B$5*Hypotheses!$B$19+Hypotheses!$B$6)-(($B5*(IF(Hypotheses!$B$22="Panama",Hypotheses!$B$8,Hypotheses!$B$9))+(IF(Hypotheses!$B$22="Panama",Hypotheses!$B$10,0)))/(Hypotheses!$B$3*1000000))-Hypotheses!$B$4*(IF(Hypotheses!$B$22="Panama",Hypotheses!$B$8,Hypotheses!$B$9))*((Hypotheses!$B$17/Hypotheses!$B$11*Hypotheses!$B$18)+H$3)-Hypotheses!$B$13)-((Hypotheses!$B$17/Hypotheses!$B$11*Hypotheses!$B$18)-(Hypotheses!$B$5*Hypotheses!$B$19+Hypotheses!$B$6)-($B5*Hypotheses!$B$7/(Hypotheses!$B$3*1000000))-Hypotheses!$B$4*Hypotheses!$B$7*(Hypotheses!$B$17/Hypotheses!$B$11*Hypotheses!$B$18)-Hypotheses!$B$12)</f>
        <v/>
      </c>
      <c r="I5" s="10">
        <f>(((Hypotheses!$B$17/Hypotheses!$B$11*Hypotheses!$B$18)+I$3)-(Hypotheses!$B$5*Hypotheses!$B$19+Hypotheses!$B$6)-(($B5*(IF(Hypotheses!$B$22="Panama",Hypotheses!$B$8,Hypotheses!$B$9))+(IF(Hypotheses!$B$22="Panama",Hypotheses!$B$10,0)))/(Hypotheses!$B$3*1000000))-Hypotheses!$B$4*(IF(Hypotheses!$B$22="Panama",Hypotheses!$B$8,Hypotheses!$B$9))*((Hypotheses!$B$17/Hypotheses!$B$11*Hypotheses!$B$18)+I$3)-Hypotheses!$B$13)-((Hypotheses!$B$17/Hypotheses!$B$11*Hypotheses!$B$18)-(Hypotheses!$B$5*Hypotheses!$B$19+Hypotheses!$B$6)-($B5*Hypotheses!$B$7/(Hypotheses!$B$3*1000000))-Hypotheses!$B$4*Hypotheses!$B$7*(Hypotheses!$B$17/Hypotheses!$B$11*Hypotheses!$B$18)-Hypotheses!$B$12)</f>
        <v/>
      </c>
    </row>
    <row r="6">
      <c r="B6" s="9" t="n">
        <v>70000</v>
      </c>
      <c r="C6" s="10">
        <f>(((Hypotheses!$B$17/Hypotheses!$B$11*Hypotheses!$B$18)+C$3)-(Hypotheses!$B$5*Hypotheses!$B$19+Hypotheses!$B$6)-(($B6*(IF(Hypotheses!$B$22="Panama",Hypotheses!$B$8,Hypotheses!$B$9))+(IF(Hypotheses!$B$22="Panama",Hypotheses!$B$10,0)))/(Hypotheses!$B$3*1000000))-Hypotheses!$B$4*(IF(Hypotheses!$B$22="Panama",Hypotheses!$B$8,Hypotheses!$B$9))*((Hypotheses!$B$17/Hypotheses!$B$11*Hypotheses!$B$18)+C$3)-Hypotheses!$B$13)-((Hypotheses!$B$17/Hypotheses!$B$11*Hypotheses!$B$18)-(Hypotheses!$B$5*Hypotheses!$B$19+Hypotheses!$B$6)-($B6*Hypotheses!$B$7/(Hypotheses!$B$3*1000000))-Hypotheses!$B$4*Hypotheses!$B$7*(Hypotheses!$B$17/Hypotheses!$B$11*Hypotheses!$B$18)-Hypotheses!$B$12)</f>
        <v/>
      </c>
      <c r="D6" s="10">
        <f>(((Hypotheses!$B$17/Hypotheses!$B$11*Hypotheses!$B$18)+D$3)-(Hypotheses!$B$5*Hypotheses!$B$19+Hypotheses!$B$6)-(($B6*(IF(Hypotheses!$B$22="Panama",Hypotheses!$B$8,Hypotheses!$B$9))+(IF(Hypotheses!$B$22="Panama",Hypotheses!$B$10,0)))/(Hypotheses!$B$3*1000000))-Hypotheses!$B$4*(IF(Hypotheses!$B$22="Panama",Hypotheses!$B$8,Hypotheses!$B$9))*((Hypotheses!$B$17/Hypotheses!$B$11*Hypotheses!$B$18)+D$3)-Hypotheses!$B$13)-((Hypotheses!$B$17/Hypotheses!$B$11*Hypotheses!$B$18)-(Hypotheses!$B$5*Hypotheses!$B$19+Hypotheses!$B$6)-($B6*Hypotheses!$B$7/(Hypotheses!$B$3*1000000))-Hypotheses!$B$4*Hypotheses!$B$7*(Hypotheses!$B$17/Hypotheses!$B$11*Hypotheses!$B$18)-Hypotheses!$B$12)</f>
        <v/>
      </c>
      <c r="E6" s="10">
        <f>(((Hypotheses!$B$17/Hypotheses!$B$11*Hypotheses!$B$18)+E$3)-(Hypotheses!$B$5*Hypotheses!$B$19+Hypotheses!$B$6)-(($B6*(IF(Hypotheses!$B$22="Panama",Hypotheses!$B$8,Hypotheses!$B$9))+(IF(Hypotheses!$B$22="Panama",Hypotheses!$B$10,0)))/(Hypotheses!$B$3*1000000))-Hypotheses!$B$4*(IF(Hypotheses!$B$22="Panama",Hypotheses!$B$8,Hypotheses!$B$9))*((Hypotheses!$B$17/Hypotheses!$B$11*Hypotheses!$B$18)+E$3)-Hypotheses!$B$13)-((Hypotheses!$B$17/Hypotheses!$B$11*Hypotheses!$B$18)-(Hypotheses!$B$5*Hypotheses!$B$19+Hypotheses!$B$6)-($B6*Hypotheses!$B$7/(Hypotheses!$B$3*1000000))-Hypotheses!$B$4*Hypotheses!$B$7*(Hypotheses!$B$17/Hypotheses!$B$11*Hypotheses!$B$18)-Hypotheses!$B$12)</f>
        <v/>
      </c>
      <c r="F6" s="10">
        <f>(((Hypotheses!$B$17/Hypotheses!$B$11*Hypotheses!$B$18)+F$3)-(Hypotheses!$B$5*Hypotheses!$B$19+Hypotheses!$B$6)-(($B6*(IF(Hypotheses!$B$22="Panama",Hypotheses!$B$8,Hypotheses!$B$9))+(IF(Hypotheses!$B$22="Panama",Hypotheses!$B$10,0)))/(Hypotheses!$B$3*1000000))-Hypotheses!$B$4*(IF(Hypotheses!$B$22="Panama",Hypotheses!$B$8,Hypotheses!$B$9))*((Hypotheses!$B$17/Hypotheses!$B$11*Hypotheses!$B$18)+F$3)-Hypotheses!$B$13)-((Hypotheses!$B$17/Hypotheses!$B$11*Hypotheses!$B$18)-(Hypotheses!$B$5*Hypotheses!$B$19+Hypotheses!$B$6)-($B6*Hypotheses!$B$7/(Hypotheses!$B$3*1000000))-Hypotheses!$B$4*Hypotheses!$B$7*(Hypotheses!$B$17/Hypotheses!$B$11*Hypotheses!$B$18)-Hypotheses!$B$12)</f>
        <v/>
      </c>
      <c r="G6" s="10">
        <f>(((Hypotheses!$B$17/Hypotheses!$B$11*Hypotheses!$B$18)+G$3)-(Hypotheses!$B$5*Hypotheses!$B$19+Hypotheses!$B$6)-(($B6*(IF(Hypotheses!$B$22="Panama",Hypotheses!$B$8,Hypotheses!$B$9))+(IF(Hypotheses!$B$22="Panama",Hypotheses!$B$10,0)))/(Hypotheses!$B$3*1000000))-Hypotheses!$B$4*(IF(Hypotheses!$B$22="Panama",Hypotheses!$B$8,Hypotheses!$B$9))*((Hypotheses!$B$17/Hypotheses!$B$11*Hypotheses!$B$18)+G$3)-Hypotheses!$B$13)-((Hypotheses!$B$17/Hypotheses!$B$11*Hypotheses!$B$18)-(Hypotheses!$B$5*Hypotheses!$B$19+Hypotheses!$B$6)-($B6*Hypotheses!$B$7/(Hypotheses!$B$3*1000000))-Hypotheses!$B$4*Hypotheses!$B$7*(Hypotheses!$B$17/Hypotheses!$B$11*Hypotheses!$B$18)-Hypotheses!$B$12)</f>
        <v/>
      </c>
      <c r="H6" s="10">
        <f>(((Hypotheses!$B$17/Hypotheses!$B$11*Hypotheses!$B$18)+H$3)-(Hypotheses!$B$5*Hypotheses!$B$19+Hypotheses!$B$6)-(($B6*(IF(Hypotheses!$B$22="Panama",Hypotheses!$B$8,Hypotheses!$B$9))+(IF(Hypotheses!$B$22="Panama",Hypotheses!$B$10,0)))/(Hypotheses!$B$3*1000000))-Hypotheses!$B$4*(IF(Hypotheses!$B$22="Panama",Hypotheses!$B$8,Hypotheses!$B$9))*((Hypotheses!$B$17/Hypotheses!$B$11*Hypotheses!$B$18)+H$3)-Hypotheses!$B$13)-((Hypotheses!$B$17/Hypotheses!$B$11*Hypotheses!$B$18)-(Hypotheses!$B$5*Hypotheses!$B$19+Hypotheses!$B$6)-($B6*Hypotheses!$B$7/(Hypotheses!$B$3*1000000))-Hypotheses!$B$4*Hypotheses!$B$7*(Hypotheses!$B$17/Hypotheses!$B$11*Hypotheses!$B$18)-Hypotheses!$B$12)</f>
        <v/>
      </c>
      <c r="I6" s="10">
        <f>(((Hypotheses!$B$17/Hypotheses!$B$11*Hypotheses!$B$18)+I$3)-(Hypotheses!$B$5*Hypotheses!$B$19+Hypotheses!$B$6)-(($B6*(IF(Hypotheses!$B$22="Panama",Hypotheses!$B$8,Hypotheses!$B$9))+(IF(Hypotheses!$B$22="Panama",Hypotheses!$B$10,0)))/(Hypotheses!$B$3*1000000))-Hypotheses!$B$4*(IF(Hypotheses!$B$22="Panama",Hypotheses!$B$8,Hypotheses!$B$9))*((Hypotheses!$B$17/Hypotheses!$B$11*Hypotheses!$B$18)+I$3)-Hypotheses!$B$13)-((Hypotheses!$B$17/Hypotheses!$B$11*Hypotheses!$B$18)-(Hypotheses!$B$5*Hypotheses!$B$19+Hypotheses!$B$6)-($B6*Hypotheses!$B$7/(Hypotheses!$B$3*1000000))-Hypotheses!$B$4*Hypotheses!$B$7*(Hypotheses!$B$17/Hypotheses!$B$11*Hypotheses!$B$18)-Hypotheses!$B$12)</f>
        <v/>
      </c>
    </row>
    <row r="7">
      <c r="B7" s="9" t="n">
        <v>90000</v>
      </c>
      <c r="C7" s="10">
        <f>(((Hypotheses!$B$17/Hypotheses!$B$11*Hypotheses!$B$18)+C$3)-(Hypotheses!$B$5*Hypotheses!$B$19+Hypotheses!$B$6)-(($B7*(IF(Hypotheses!$B$22="Panama",Hypotheses!$B$8,Hypotheses!$B$9))+(IF(Hypotheses!$B$22="Panama",Hypotheses!$B$10,0)))/(Hypotheses!$B$3*1000000))-Hypotheses!$B$4*(IF(Hypotheses!$B$22="Panama",Hypotheses!$B$8,Hypotheses!$B$9))*((Hypotheses!$B$17/Hypotheses!$B$11*Hypotheses!$B$18)+C$3)-Hypotheses!$B$13)-((Hypotheses!$B$17/Hypotheses!$B$11*Hypotheses!$B$18)-(Hypotheses!$B$5*Hypotheses!$B$19+Hypotheses!$B$6)-($B7*Hypotheses!$B$7/(Hypotheses!$B$3*1000000))-Hypotheses!$B$4*Hypotheses!$B$7*(Hypotheses!$B$17/Hypotheses!$B$11*Hypotheses!$B$18)-Hypotheses!$B$12)</f>
        <v/>
      </c>
      <c r="D7" s="10">
        <f>(((Hypotheses!$B$17/Hypotheses!$B$11*Hypotheses!$B$18)+D$3)-(Hypotheses!$B$5*Hypotheses!$B$19+Hypotheses!$B$6)-(($B7*(IF(Hypotheses!$B$22="Panama",Hypotheses!$B$8,Hypotheses!$B$9))+(IF(Hypotheses!$B$22="Panama",Hypotheses!$B$10,0)))/(Hypotheses!$B$3*1000000))-Hypotheses!$B$4*(IF(Hypotheses!$B$22="Panama",Hypotheses!$B$8,Hypotheses!$B$9))*((Hypotheses!$B$17/Hypotheses!$B$11*Hypotheses!$B$18)+D$3)-Hypotheses!$B$13)-((Hypotheses!$B$17/Hypotheses!$B$11*Hypotheses!$B$18)-(Hypotheses!$B$5*Hypotheses!$B$19+Hypotheses!$B$6)-($B7*Hypotheses!$B$7/(Hypotheses!$B$3*1000000))-Hypotheses!$B$4*Hypotheses!$B$7*(Hypotheses!$B$17/Hypotheses!$B$11*Hypotheses!$B$18)-Hypotheses!$B$12)</f>
        <v/>
      </c>
      <c r="E7" s="10">
        <f>(((Hypotheses!$B$17/Hypotheses!$B$11*Hypotheses!$B$18)+E$3)-(Hypotheses!$B$5*Hypotheses!$B$19+Hypotheses!$B$6)-(($B7*(IF(Hypotheses!$B$22="Panama",Hypotheses!$B$8,Hypotheses!$B$9))+(IF(Hypotheses!$B$22="Panama",Hypotheses!$B$10,0)))/(Hypotheses!$B$3*1000000))-Hypotheses!$B$4*(IF(Hypotheses!$B$22="Panama",Hypotheses!$B$8,Hypotheses!$B$9))*((Hypotheses!$B$17/Hypotheses!$B$11*Hypotheses!$B$18)+E$3)-Hypotheses!$B$13)-((Hypotheses!$B$17/Hypotheses!$B$11*Hypotheses!$B$18)-(Hypotheses!$B$5*Hypotheses!$B$19+Hypotheses!$B$6)-($B7*Hypotheses!$B$7/(Hypotheses!$B$3*1000000))-Hypotheses!$B$4*Hypotheses!$B$7*(Hypotheses!$B$17/Hypotheses!$B$11*Hypotheses!$B$18)-Hypotheses!$B$12)</f>
        <v/>
      </c>
      <c r="F7" s="10">
        <f>(((Hypotheses!$B$17/Hypotheses!$B$11*Hypotheses!$B$18)+F$3)-(Hypotheses!$B$5*Hypotheses!$B$19+Hypotheses!$B$6)-(($B7*(IF(Hypotheses!$B$22="Panama",Hypotheses!$B$8,Hypotheses!$B$9))+(IF(Hypotheses!$B$22="Panama",Hypotheses!$B$10,0)))/(Hypotheses!$B$3*1000000))-Hypotheses!$B$4*(IF(Hypotheses!$B$22="Panama",Hypotheses!$B$8,Hypotheses!$B$9))*((Hypotheses!$B$17/Hypotheses!$B$11*Hypotheses!$B$18)+F$3)-Hypotheses!$B$13)-((Hypotheses!$B$17/Hypotheses!$B$11*Hypotheses!$B$18)-(Hypotheses!$B$5*Hypotheses!$B$19+Hypotheses!$B$6)-($B7*Hypotheses!$B$7/(Hypotheses!$B$3*1000000))-Hypotheses!$B$4*Hypotheses!$B$7*(Hypotheses!$B$17/Hypotheses!$B$11*Hypotheses!$B$18)-Hypotheses!$B$12)</f>
        <v/>
      </c>
      <c r="G7" s="10">
        <f>(((Hypotheses!$B$17/Hypotheses!$B$11*Hypotheses!$B$18)+G$3)-(Hypotheses!$B$5*Hypotheses!$B$19+Hypotheses!$B$6)-(($B7*(IF(Hypotheses!$B$22="Panama",Hypotheses!$B$8,Hypotheses!$B$9))+(IF(Hypotheses!$B$22="Panama",Hypotheses!$B$10,0)))/(Hypotheses!$B$3*1000000))-Hypotheses!$B$4*(IF(Hypotheses!$B$22="Panama",Hypotheses!$B$8,Hypotheses!$B$9))*((Hypotheses!$B$17/Hypotheses!$B$11*Hypotheses!$B$18)+G$3)-Hypotheses!$B$13)-((Hypotheses!$B$17/Hypotheses!$B$11*Hypotheses!$B$18)-(Hypotheses!$B$5*Hypotheses!$B$19+Hypotheses!$B$6)-($B7*Hypotheses!$B$7/(Hypotheses!$B$3*1000000))-Hypotheses!$B$4*Hypotheses!$B$7*(Hypotheses!$B$17/Hypotheses!$B$11*Hypotheses!$B$18)-Hypotheses!$B$12)</f>
        <v/>
      </c>
      <c r="H7" s="10">
        <f>(((Hypotheses!$B$17/Hypotheses!$B$11*Hypotheses!$B$18)+H$3)-(Hypotheses!$B$5*Hypotheses!$B$19+Hypotheses!$B$6)-(($B7*(IF(Hypotheses!$B$22="Panama",Hypotheses!$B$8,Hypotheses!$B$9))+(IF(Hypotheses!$B$22="Panama",Hypotheses!$B$10,0)))/(Hypotheses!$B$3*1000000))-Hypotheses!$B$4*(IF(Hypotheses!$B$22="Panama",Hypotheses!$B$8,Hypotheses!$B$9))*((Hypotheses!$B$17/Hypotheses!$B$11*Hypotheses!$B$18)+H$3)-Hypotheses!$B$13)-((Hypotheses!$B$17/Hypotheses!$B$11*Hypotheses!$B$18)-(Hypotheses!$B$5*Hypotheses!$B$19+Hypotheses!$B$6)-($B7*Hypotheses!$B$7/(Hypotheses!$B$3*1000000))-Hypotheses!$B$4*Hypotheses!$B$7*(Hypotheses!$B$17/Hypotheses!$B$11*Hypotheses!$B$18)-Hypotheses!$B$12)</f>
        <v/>
      </c>
      <c r="I7" s="10">
        <f>(((Hypotheses!$B$17/Hypotheses!$B$11*Hypotheses!$B$18)+I$3)-(Hypotheses!$B$5*Hypotheses!$B$19+Hypotheses!$B$6)-(($B7*(IF(Hypotheses!$B$22="Panama",Hypotheses!$B$8,Hypotheses!$B$9))+(IF(Hypotheses!$B$22="Panama",Hypotheses!$B$10,0)))/(Hypotheses!$B$3*1000000))-Hypotheses!$B$4*(IF(Hypotheses!$B$22="Panama",Hypotheses!$B$8,Hypotheses!$B$9))*((Hypotheses!$B$17/Hypotheses!$B$11*Hypotheses!$B$18)+I$3)-Hypotheses!$B$13)-((Hypotheses!$B$17/Hypotheses!$B$11*Hypotheses!$B$18)-(Hypotheses!$B$5*Hypotheses!$B$19+Hypotheses!$B$6)-($B7*Hypotheses!$B$7/(Hypotheses!$B$3*1000000))-Hypotheses!$B$4*Hypotheses!$B$7*(Hypotheses!$B$17/Hypotheses!$B$11*Hypotheses!$B$18)-Hypotheses!$B$12)</f>
        <v/>
      </c>
    </row>
    <row r="8">
      <c r="B8" s="9" t="n">
        <v>110000</v>
      </c>
      <c r="C8" s="10">
        <f>(((Hypotheses!$B$17/Hypotheses!$B$11*Hypotheses!$B$18)+C$3)-(Hypotheses!$B$5*Hypotheses!$B$19+Hypotheses!$B$6)-(($B8*(IF(Hypotheses!$B$22="Panama",Hypotheses!$B$8,Hypotheses!$B$9))+(IF(Hypotheses!$B$22="Panama",Hypotheses!$B$10,0)))/(Hypotheses!$B$3*1000000))-Hypotheses!$B$4*(IF(Hypotheses!$B$22="Panama",Hypotheses!$B$8,Hypotheses!$B$9))*((Hypotheses!$B$17/Hypotheses!$B$11*Hypotheses!$B$18)+C$3)-Hypotheses!$B$13)-((Hypotheses!$B$17/Hypotheses!$B$11*Hypotheses!$B$18)-(Hypotheses!$B$5*Hypotheses!$B$19+Hypotheses!$B$6)-($B8*Hypotheses!$B$7/(Hypotheses!$B$3*1000000))-Hypotheses!$B$4*Hypotheses!$B$7*(Hypotheses!$B$17/Hypotheses!$B$11*Hypotheses!$B$18)-Hypotheses!$B$12)</f>
        <v/>
      </c>
      <c r="D8" s="10">
        <f>(((Hypotheses!$B$17/Hypotheses!$B$11*Hypotheses!$B$18)+D$3)-(Hypotheses!$B$5*Hypotheses!$B$19+Hypotheses!$B$6)-(($B8*(IF(Hypotheses!$B$22="Panama",Hypotheses!$B$8,Hypotheses!$B$9))+(IF(Hypotheses!$B$22="Panama",Hypotheses!$B$10,0)))/(Hypotheses!$B$3*1000000))-Hypotheses!$B$4*(IF(Hypotheses!$B$22="Panama",Hypotheses!$B$8,Hypotheses!$B$9))*((Hypotheses!$B$17/Hypotheses!$B$11*Hypotheses!$B$18)+D$3)-Hypotheses!$B$13)-((Hypotheses!$B$17/Hypotheses!$B$11*Hypotheses!$B$18)-(Hypotheses!$B$5*Hypotheses!$B$19+Hypotheses!$B$6)-($B8*Hypotheses!$B$7/(Hypotheses!$B$3*1000000))-Hypotheses!$B$4*Hypotheses!$B$7*(Hypotheses!$B$17/Hypotheses!$B$11*Hypotheses!$B$18)-Hypotheses!$B$12)</f>
        <v/>
      </c>
      <c r="E8" s="10">
        <f>(((Hypotheses!$B$17/Hypotheses!$B$11*Hypotheses!$B$18)+E$3)-(Hypotheses!$B$5*Hypotheses!$B$19+Hypotheses!$B$6)-(($B8*(IF(Hypotheses!$B$22="Panama",Hypotheses!$B$8,Hypotheses!$B$9))+(IF(Hypotheses!$B$22="Panama",Hypotheses!$B$10,0)))/(Hypotheses!$B$3*1000000))-Hypotheses!$B$4*(IF(Hypotheses!$B$22="Panama",Hypotheses!$B$8,Hypotheses!$B$9))*((Hypotheses!$B$17/Hypotheses!$B$11*Hypotheses!$B$18)+E$3)-Hypotheses!$B$13)-((Hypotheses!$B$17/Hypotheses!$B$11*Hypotheses!$B$18)-(Hypotheses!$B$5*Hypotheses!$B$19+Hypotheses!$B$6)-($B8*Hypotheses!$B$7/(Hypotheses!$B$3*1000000))-Hypotheses!$B$4*Hypotheses!$B$7*(Hypotheses!$B$17/Hypotheses!$B$11*Hypotheses!$B$18)-Hypotheses!$B$12)</f>
        <v/>
      </c>
      <c r="F8" s="10">
        <f>(((Hypotheses!$B$17/Hypotheses!$B$11*Hypotheses!$B$18)+F$3)-(Hypotheses!$B$5*Hypotheses!$B$19+Hypotheses!$B$6)-(($B8*(IF(Hypotheses!$B$22="Panama",Hypotheses!$B$8,Hypotheses!$B$9))+(IF(Hypotheses!$B$22="Panama",Hypotheses!$B$10,0)))/(Hypotheses!$B$3*1000000))-Hypotheses!$B$4*(IF(Hypotheses!$B$22="Panama",Hypotheses!$B$8,Hypotheses!$B$9))*((Hypotheses!$B$17/Hypotheses!$B$11*Hypotheses!$B$18)+F$3)-Hypotheses!$B$13)-((Hypotheses!$B$17/Hypotheses!$B$11*Hypotheses!$B$18)-(Hypotheses!$B$5*Hypotheses!$B$19+Hypotheses!$B$6)-($B8*Hypotheses!$B$7/(Hypotheses!$B$3*1000000))-Hypotheses!$B$4*Hypotheses!$B$7*(Hypotheses!$B$17/Hypotheses!$B$11*Hypotheses!$B$18)-Hypotheses!$B$12)</f>
        <v/>
      </c>
      <c r="G8" s="10">
        <f>(((Hypotheses!$B$17/Hypotheses!$B$11*Hypotheses!$B$18)+G$3)-(Hypotheses!$B$5*Hypotheses!$B$19+Hypotheses!$B$6)-(($B8*(IF(Hypotheses!$B$22="Panama",Hypotheses!$B$8,Hypotheses!$B$9))+(IF(Hypotheses!$B$22="Panama",Hypotheses!$B$10,0)))/(Hypotheses!$B$3*1000000))-Hypotheses!$B$4*(IF(Hypotheses!$B$22="Panama",Hypotheses!$B$8,Hypotheses!$B$9))*((Hypotheses!$B$17/Hypotheses!$B$11*Hypotheses!$B$18)+G$3)-Hypotheses!$B$13)-((Hypotheses!$B$17/Hypotheses!$B$11*Hypotheses!$B$18)-(Hypotheses!$B$5*Hypotheses!$B$19+Hypotheses!$B$6)-($B8*Hypotheses!$B$7/(Hypotheses!$B$3*1000000))-Hypotheses!$B$4*Hypotheses!$B$7*(Hypotheses!$B$17/Hypotheses!$B$11*Hypotheses!$B$18)-Hypotheses!$B$12)</f>
        <v/>
      </c>
      <c r="H8" s="10">
        <f>(((Hypotheses!$B$17/Hypotheses!$B$11*Hypotheses!$B$18)+H$3)-(Hypotheses!$B$5*Hypotheses!$B$19+Hypotheses!$B$6)-(($B8*(IF(Hypotheses!$B$22="Panama",Hypotheses!$B$8,Hypotheses!$B$9))+(IF(Hypotheses!$B$22="Panama",Hypotheses!$B$10,0)))/(Hypotheses!$B$3*1000000))-Hypotheses!$B$4*(IF(Hypotheses!$B$22="Panama",Hypotheses!$B$8,Hypotheses!$B$9))*((Hypotheses!$B$17/Hypotheses!$B$11*Hypotheses!$B$18)+H$3)-Hypotheses!$B$13)-((Hypotheses!$B$17/Hypotheses!$B$11*Hypotheses!$B$18)-(Hypotheses!$B$5*Hypotheses!$B$19+Hypotheses!$B$6)-($B8*Hypotheses!$B$7/(Hypotheses!$B$3*1000000))-Hypotheses!$B$4*Hypotheses!$B$7*(Hypotheses!$B$17/Hypotheses!$B$11*Hypotheses!$B$18)-Hypotheses!$B$12)</f>
        <v/>
      </c>
      <c r="I8" s="10">
        <f>(((Hypotheses!$B$17/Hypotheses!$B$11*Hypotheses!$B$18)+I$3)-(Hypotheses!$B$5*Hypotheses!$B$19+Hypotheses!$B$6)-(($B8*(IF(Hypotheses!$B$22="Panama",Hypotheses!$B$8,Hypotheses!$B$9))+(IF(Hypotheses!$B$22="Panama",Hypotheses!$B$10,0)))/(Hypotheses!$B$3*1000000))-Hypotheses!$B$4*(IF(Hypotheses!$B$22="Panama",Hypotheses!$B$8,Hypotheses!$B$9))*((Hypotheses!$B$17/Hypotheses!$B$11*Hypotheses!$B$18)+I$3)-Hypotheses!$B$13)-((Hypotheses!$B$17/Hypotheses!$B$11*Hypotheses!$B$18)-(Hypotheses!$B$5*Hypotheses!$B$19+Hypotheses!$B$6)-($B8*Hypotheses!$B$7/(Hypotheses!$B$3*1000000))-Hypotheses!$B$4*Hypotheses!$B$7*(Hypotheses!$B$17/Hypotheses!$B$11*Hypotheses!$B$18)-Hypotheses!$B$12)</f>
        <v/>
      </c>
    </row>
    <row r="9">
      <c r="B9" s="9" t="n">
        <v>130000</v>
      </c>
      <c r="C9" s="10">
        <f>(((Hypotheses!$B$17/Hypotheses!$B$11*Hypotheses!$B$18)+C$3)-(Hypotheses!$B$5*Hypotheses!$B$19+Hypotheses!$B$6)-(($B9*(IF(Hypotheses!$B$22="Panama",Hypotheses!$B$8,Hypotheses!$B$9))+(IF(Hypotheses!$B$22="Panama",Hypotheses!$B$10,0)))/(Hypotheses!$B$3*1000000))-Hypotheses!$B$4*(IF(Hypotheses!$B$22="Panama",Hypotheses!$B$8,Hypotheses!$B$9))*((Hypotheses!$B$17/Hypotheses!$B$11*Hypotheses!$B$18)+C$3)-Hypotheses!$B$13)-((Hypotheses!$B$17/Hypotheses!$B$11*Hypotheses!$B$18)-(Hypotheses!$B$5*Hypotheses!$B$19+Hypotheses!$B$6)-($B9*Hypotheses!$B$7/(Hypotheses!$B$3*1000000))-Hypotheses!$B$4*Hypotheses!$B$7*(Hypotheses!$B$17/Hypotheses!$B$11*Hypotheses!$B$18)-Hypotheses!$B$12)</f>
        <v/>
      </c>
      <c r="D9" s="10">
        <f>(((Hypotheses!$B$17/Hypotheses!$B$11*Hypotheses!$B$18)+D$3)-(Hypotheses!$B$5*Hypotheses!$B$19+Hypotheses!$B$6)-(($B9*(IF(Hypotheses!$B$22="Panama",Hypotheses!$B$8,Hypotheses!$B$9))+(IF(Hypotheses!$B$22="Panama",Hypotheses!$B$10,0)))/(Hypotheses!$B$3*1000000))-Hypotheses!$B$4*(IF(Hypotheses!$B$22="Panama",Hypotheses!$B$8,Hypotheses!$B$9))*((Hypotheses!$B$17/Hypotheses!$B$11*Hypotheses!$B$18)+D$3)-Hypotheses!$B$13)-((Hypotheses!$B$17/Hypotheses!$B$11*Hypotheses!$B$18)-(Hypotheses!$B$5*Hypotheses!$B$19+Hypotheses!$B$6)-($B9*Hypotheses!$B$7/(Hypotheses!$B$3*1000000))-Hypotheses!$B$4*Hypotheses!$B$7*(Hypotheses!$B$17/Hypotheses!$B$11*Hypotheses!$B$18)-Hypotheses!$B$12)</f>
        <v/>
      </c>
      <c r="E9" s="10">
        <f>(((Hypotheses!$B$17/Hypotheses!$B$11*Hypotheses!$B$18)+E$3)-(Hypotheses!$B$5*Hypotheses!$B$19+Hypotheses!$B$6)-(($B9*(IF(Hypotheses!$B$22="Panama",Hypotheses!$B$8,Hypotheses!$B$9))+(IF(Hypotheses!$B$22="Panama",Hypotheses!$B$10,0)))/(Hypotheses!$B$3*1000000))-Hypotheses!$B$4*(IF(Hypotheses!$B$22="Panama",Hypotheses!$B$8,Hypotheses!$B$9))*((Hypotheses!$B$17/Hypotheses!$B$11*Hypotheses!$B$18)+E$3)-Hypotheses!$B$13)-((Hypotheses!$B$17/Hypotheses!$B$11*Hypotheses!$B$18)-(Hypotheses!$B$5*Hypotheses!$B$19+Hypotheses!$B$6)-($B9*Hypotheses!$B$7/(Hypotheses!$B$3*1000000))-Hypotheses!$B$4*Hypotheses!$B$7*(Hypotheses!$B$17/Hypotheses!$B$11*Hypotheses!$B$18)-Hypotheses!$B$12)</f>
        <v/>
      </c>
      <c r="F9" s="10">
        <f>(((Hypotheses!$B$17/Hypotheses!$B$11*Hypotheses!$B$18)+F$3)-(Hypotheses!$B$5*Hypotheses!$B$19+Hypotheses!$B$6)-(($B9*(IF(Hypotheses!$B$22="Panama",Hypotheses!$B$8,Hypotheses!$B$9))+(IF(Hypotheses!$B$22="Panama",Hypotheses!$B$10,0)))/(Hypotheses!$B$3*1000000))-Hypotheses!$B$4*(IF(Hypotheses!$B$22="Panama",Hypotheses!$B$8,Hypotheses!$B$9))*((Hypotheses!$B$17/Hypotheses!$B$11*Hypotheses!$B$18)+F$3)-Hypotheses!$B$13)-((Hypotheses!$B$17/Hypotheses!$B$11*Hypotheses!$B$18)-(Hypotheses!$B$5*Hypotheses!$B$19+Hypotheses!$B$6)-($B9*Hypotheses!$B$7/(Hypotheses!$B$3*1000000))-Hypotheses!$B$4*Hypotheses!$B$7*(Hypotheses!$B$17/Hypotheses!$B$11*Hypotheses!$B$18)-Hypotheses!$B$12)</f>
        <v/>
      </c>
      <c r="G9" s="10">
        <f>(((Hypotheses!$B$17/Hypotheses!$B$11*Hypotheses!$B$18)+G$3)-(Hypotheses!$B$5*Hypotheses!$B$19+Hypotheses!$B$6)-(($B9*(IF(Hypotheses!$B$22="Panama",Hypotheses!$B$8,Hypotheses!$B$9))+(IF(Hypotheses!$B$22="Panama",Hypotheses!$B$10,0)))/(Hypotheses!$B$3*1000000))-Hypotheses!$B$4*(IF(Hypotheses!$B$22="Panama",Hypotheses!$B$8,Hypotheses!$B$9))*((Hypotheses!$B$17/Hypotheses!$B$11*Hypotheses!$B$18)+G$3)-Hypotheses!$B$13)-((Hypotheses!$B$17/Hypotheses!$B$11*Hypotheses!$B$18)-(Hypotheses!$B$5*Hypotheses!$B$19+Hypotheses!$B$6)-($B9*Hypotheses!$B$7/(Hypotheses!$B$3*1000000))-Hypotheses!$B$4*Hypotheses!$B$7*(Hypotheses!$B$17/Hypotheses!$B$11*Hypotheses!$B$18)-Hypotheses!$B$12)</f>
        <v/>
      </c>
      <c r="H9" s="10">
        <f>(((Hypotheses!$B$17/Hypotheses!$B$11*Hypotheses!$B$18)+H$3)-(Hypotheses!$B$5*Hypotheses!$B$19+Hypotheses!$B$6)-(($B9*(IF(Hypotheses!$B$22="Panama",Hypotheses!$B$8,Hypotheses!$B$9))+(IF(Hypotheses!$B$22="Panama",Hypotheses!$B$10,0)))/(Hypotheses!$B$3*1000000))-Hypotheses!$B$4*(IF(Hypotheses!$B$22="Panama",Hypotheses!$B$8,Hypotheses!$B$9))*((Hypotheses!$B$17/Hypotheses!$B$11*Hypotheses!$B$18)+H$3)-Hypotheses!$B$13)-((Hypotheses!$B$17/Hypotheses!$B$11*Hypotheses!$B$18)-(Hypotheses!$B$5*Hypotheses!$B$19+Hypotheses!$B$6)-($B9*Hypotheses!$B$7/(Hypotheses!$B$3*1000000))-Hypotheses!$B$4*Hypotheses!$B$7*(Hypotheses!$B$17/Hypotheses!$B$11*Hypotheses!$B$18)-Hypotheses!$B$12)</f>
        <v/>
      </c>
      <c r="I9" s="10">
        <f>(((Hypotheses!$B$17/Hypotheses!$B$11*Hypotheses!$B$18)+I$3)-(Hypotheses!$B$5*Hypotheses!$B$19+Hypotheses!$B$6)-(($B9*(IF(Hypotheses!$B$22="Panama",Hypotheses!$B$8,Hypotheses!$B$9))+(IF(Hypotheses!$B$22="Panama",Hypotheses!$B$10,0)))/(Hypotheses!$B$3*1000000))-Hypotheses!$B$4*(IF(Hypotheses!$B$22="Panama",Hypotheses!$B$8,Hypotheses!$B$9))*((Hypotheses!$B$17/Hypotheses!$B$11*Hypotheses!$B$18)+I$3)-Hypotheses!$B$13)-((Hypotheses!$B$17/Hypotheses!$B$11*Hypotheses!$B$18)-(Hypotheses!$B$5*Hypotheses!$B$19+Hypotheses!$B$6)-($B9*Hypotheses!$B$7/(Hypotheses!$B$3*1000000))-Hypotheses!$B$4*Hypotheses!$B$7*(Hypotheses!$B$17/Hypotheses!$B$11*Hypotheses!$B$18)-Hypotheses!$B$12)</f>
        <v/>
      </c>
    </row>
    <row r="10">
      <c r="B10" s="9" t="n">
        <v>150000</v>
      </c>
      <c r="C10" s="10">
        <f>(((Hypotheses!$B$17/Hypotheses!$B$11*Hypotheses!$B$18)+C$3)-(Hypotheses!$B$5*Hypotheses!$B$19+Hypotheses!$B$6)-(($B10*(IF(Hypotheses!$B$22="Panama",Hypotheses!$B$8,Hypotheses!$B$9))+(IF(Hypotheses!$B$22="Panama",Hypotheses!$B$10,0)))/(Hypotheses!$B$3*1000000))-Hypotheses!$B$4*(IF(Hypotheses!$B$22="Panama",Hypotheses!$B$8,Hypotheses!$B$9))*((Hypotheses!$B$17/Hypotheses!$B$11*Hypotheses!$B$18)+C$3)-Hypotheses!$B$13)-((Hypotheses!$B$17/Hypotheses!$B$11*Hypotheses!$B$18)-(Hypotheses!$B$5*Hypotheses!$B$19+Hypotheses!$B$6)-($B10*Hypotheses!$B$7/(Hypotheses!$B$3*1000000))-Hypotheses!$B$4*Hypotheses!$B$7*(Hypotheses!$B$17/Hypotheses!$B$11*Hypotheses!$B$18)-Hypotheses!$B$12)</f>
        <v/>
      </c>
      <c r="D10" s="10">
        <f>(((Hypotheses!$B$17/Hypotheses!$B$11*Hypotheses!$B$18)+D$3)-(Hypotheses!$B$5*Hypotheses!$B$19+Hypotheses!$B$6)-(($B10*(IF(Hypotheses!$B$22="Panama",Hypotheses!$B$8,Hypotheses!$B$9))+(IF(Hypotheses!$B$22="Panama",Hypotheses!$B$10,0)))/(Hypotheses!$B$3*1000000))-Hypotheses!$B$4*(IF(Hypotheses!$B$22="Panama",Hypotheses!$B$8,Hypotheses!$B$9))*((Hypotheses!$B$17/Hypotheses!$B$11*Hypotheses!$B$18)+D$3)-Hypotheses!$B$13)-((Hypotheses!$B$17/Hypotheses!$B$11*Hypotheses!$B$18)-(Hypotheses!$B$5*Hypotheses!$B$19+Hypotheses!$B$6)-($B10*Hypotheses!$B$7/(Hypotheses!$B$3*1000000))-Hypotheses!$B$4*Hypotheses!$B$7*(Hypotheses!$B$17/Hypotheses!$B$11*Hypotheses!$B$18)-Hypotheses!$B$12)</f>
        <v/>
      </c>
      <c r="E10" s="10">
        <f>(((Hypotheses!$B$17/Hypotheses!$B$11*Hypotheses!$B$18)+E$3)-(Hypotheses!$B$5*Hypotheses!$B$19+Hypotheses!$B$6)-(($B10*(IF(Hypotheses!$B$22="Panama",Hypotheses!$B$8,Hypotheses!$B$9))+(IF(Hypotheses!$B$22="Panama",Hypotheses!$B$10,0)))/(Hypotheses!$B$3*1000000))-Hypotheses!$B$4*(IF(Hypotheses!$B$22="Panama",Hypotheses!$B$8,Hypotheses!$B$9))*((Hypotheses!$B$17/Hypotheses!$B$11*Hypotheses!$B$18)+E$3)-Hypotheses!$B$13)-((Hypotheses!$B$17/Hypotheses!$B$11*Hypotheses!$B$18)-(Hypotheses!$B$5*Hypotheses!$B$19+Hypotheses!$B$6)-($B10*Hypotheses!$B$7/(Hypotheses!$B$3*1000000))-Hypotheses!$B$4*Hypotheses!$B$7*(Hypotheses!$B$17/Hypotheses!$B$11*Hypotheses!$B$18)-Hypotheses!$B$12)</f>
        <v/>
      </c>
      <c r="F10" s="10">
        <f>(((Hypotheses!$B$17/Hypotheses!$B$11*Hypotheses!$B$18)+F$3)-(Hypotheses!$B$5*Hypotheses!$B$19+Hypotheses!$B$6)-(($B10*(IF(Hypotheses!$B$22="Panama",Hypotheses!$B$8,Hypotheses!$B$9))+(IF(Hypotheses!$B$22="Panama",Hypotheses!$B$10,0)))/(Hypotheses!$B$3*1000000))-Hypotheses!$B$4*(IF(Hypotheses!$B$22="Panama",Hypotheses!$B$8,Hypotheses!$B$9))*((Hypotheses!$B$17/Hypotheses!$B$11*Hypotheses!$B$18)+F$3)-Hypotheses!$B$13)-((Hypotheses!$B$17/Hypotheses!$B$11*Hypotheses!$B$18)-(Hypotheses!$B$5*Hypotheses!$B$19+Hypotheses!$B$6)-($B10*Hypotheses!$B$7/(Hypotheses!$B$3*1000000))-Hypotheses!$B$4*Hypotheses!$B$7*(Hypotheses!$B$17/Hypotheses!$B$11*Hypotheses!$B$18)-Hypotheses!$B$12)</f>
        <v/>
      </c>
      <c r="G10" s="10">
        <f>(((Hypotheses!$B$17/Hypotheses!$B$11*Hypotheses!$B$18)+G$3)-(Hypotheses!$B$5*Hypotheses!$B$19+Hypotheses!$B$6)-(($B10*(IF(Hypotheses!$B$22="Panama",Hypotheses!$B$8,Hypotheses!$B$9))+(IF(Hypotheses!$B$22="Panama",Hypotheses!$B$10,0)))/(Hypotheses!$B$3*1000000))-Hypotheses!$B$4*(IF(Hypotheses!$B$22="Panama",Hypotheses!$B$8,Hypotheses!$B$9))*((Hypotheses!$B$17/Hypotheses!$B$11*Hypotheses!$B$18)+G$3)-Hypotheses!$B$13)-((Hypotheses!$B$17/Hypotheses!$B$11*Hypotheses!$B$18)-(Hypotheses!$B$5*Hypotheses!$B$19+Hypotheses!$B$6)-($B10*Hypotheses!$B$7/(Hypotheses!$B$3*1000000))-Hypotheses!$B$4*Hypotheses!$B$7*(Hypotheses!$B$17/Hypotheses!$B$11*Hypotheses!$B$18)-Hypotheses!$B$12)</f>
        <v/>
      </c>
      <c r="H10" s="10">
        <f>(((Hypotheses!$B$17/Hypotheses!$B$11*Hypotheses!$B$18)+H$3)-(Hypotheses!$B$5*Hypotheses!$B$19+Hypotheses!$B$6)-(($B10*(IF(Hypotheses!$B$22="Panama",Hypotheses!$B$8,Hypotheses!$B$9))+(IF(Hypotheses!$B$22="Panama",Hypotheses!$B$10,0)))/(Hypotheses!$B$3*1000000))-Hypotheses!$B$4*(IF(Hypotheses!$B$22="Panama",Hypotheses!$B$8,Hypotheses!$B$9))*((Hypotheses!$B$17/Hypotheses!$B$11*Hypotheses!$B$18)+H$3)-Hypotheses!$B$13)-((Hypotheses!$B$17/Hypotheses!$B$11*Hypotheses!$B$18)-(Hypotheses!$B$5*Hypotheses!$B$19+Hypotheses!$B$6)-($B10*Hypotheses!$B$7/(Hypotheses!$B$3*1000000))-Hypotheses!$B$4*Hypotheses!$B$7*(Hypotheses!$B$17/Hypotheses!$B$11*Hypotheses!$B$18)-Hypotheses!$B$12)</f>
        <v/>
      </c>
      <c r="I10" s="10">
        <f>(((Hypotheses!$B$17/Hypotheses!$B$11*Hypotheses!$B$18)+I$3)-(Hypotheses!$B$5*Hypotheses!$B$19+Hypotheses!$B$6)-(($B10*(IF(Hypotheses!$B$22="Panama",Hypotheses!$B$8,Hypotheses!$B$9))+(IF(Hypotheses!$B$22="Panama",Hypotheses!$B$10,0)))/(Hypotheses!$B$3*1000000))-Hypotheses!$B$4*(IF(Hypotheses!$B$22="Panama",Hypotheses!$B$8,Hypotheses!$B$9))*((Hypotheses!$B$17/Hypotheses!$B$11*Hypotheses!$B$18)+I$3)-Hypotheses!$B$13)-((Hypotheses!$B$17/Hypotheses!$B$11*Hypotheses!$B$18)-(Hypotheses!$B$5*Hypotheses!$B$19+Hypotheses!$B$6)-($B10*Hypotheses!$B$7/(Hypotheses!$B$3*1000000))-Hypotheses!$B$4*Hypotheses!$B$7*(Hypotheses!$B$17/Hypotheses!$B$11*Hypotheses!$B$18)-Hypotheses!$B$12)</f>
        <v/>
      </c>
    </row>
  </sheetData>
  <mergeCells count="1">
    <mergeCell ref="A2:I2"/>
  </mergeCells>
  <conditionalFormatting sqref="C4:I1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2026-09-15T16:32:43Z</dcterms:created>
  <dcterms:modified xmlns:dcterms="http://purl.org/dc/terms/" xmlns:xsi="http://www.w3.org/2001/XMLSchema-instance" xsi:type="dcterms:W3CDTF">2026-09-15T16:32:43Z</dcterms:modified>
</cp:coreProperties>
</file>